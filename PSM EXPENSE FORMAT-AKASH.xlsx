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es\Downloads\"/>
    </mc:Choice>
  </mc:AlternateContent>
  <bookViews>
    <workbookView xWindow="0" yWindow="0" windowWidth="23040" windowHeight="9072"/>
  </bookViews>
  <sheets>
    <sheet name="Psm Exp Format" sheetId="2" r:id="rId1"/>
  </sheets>
  <definedNames>
    <definedName name="_xlnm._FilterDatabase" localSheetId="0" hidden="1">'Psm Exp Format'!$A$6:$O$32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5" i="2" l="1"/>
  <c r="O36" i="2"/>
  <c r="L35" i="2"/>
  <c r="L36" i="2"/>
  <c r="L32" i="2"/>
  <c r="O32" i="2" s="1"/>
  <c r="L33" i="2"/>
  <c r="O33" i="2" s="1"/>
  <c r="L34" i="2"/>
  <c r="O34" i="2" s="1"/>
  <c r="I40" i="2"/>
  <c r="L31" i="2"/>
  <c r="O31" i="2" s="1"/>
  <c r="L30" i="2"/>
  <c r="O30" i="2" s="1"/>
  <c r="L29" i="2"/>
  <c r="O29" i="2" s="1"/>
  <c r="L28" i="2"/>
  <c r="O28" i="2" s="1"/>
  <c r="L27" i="2"/>
  <c r="O27" i="2" s="1"/>
  <c r="L26" i="2"/>
  <c r="O26" i="2" s="1"/>
  <c r="L25" i="2"/>
  <c r="O25" i="2" s="1"/>
  <c r="L24" i="2"/>
  <c r="O24" i="2" s="1"/>
  <c r="L23" i="2"/>
  <c r="O23" i="2" s="1"/>
  <c r="L22" i="2"/>
  <c r="O22" i="2" s="1"/>
  <c r="L21" i="2"/>
  <c r="O21" i="2" s="1"/>
  <c r="L20" i="2"/>
  <c r="O20" i="2" s="1"/>
  <c r="L19" i="2"/>
  <c r="O19" i="2" s="1"/>
  <c r="L18" i="2"/>
  <c r="O18" i="2" s="1"/>
  <c r="L17" i="2"/>
  <c r="O17" i="2" s="1"/>
  <c r="L16" i="2"/>
  <c r="O16" i="2" s="1"/>
  <c r="L15" i="2"/>
  <c r="O15" i="2" s="1"/>
  <c r="L14" i="2"/>
  <c r="O14" i="2" s="1"/>
  <c r="L13" i="2"/>
  <c r="O13" i="2" s="1"/>
  <c r="L12" i="2"/>
  <c r="O12" i="2" s="1"/>
  <c r="L11" i="2"/>
  <c r="O11" i="2" s="1"/>
  <c r="L10" i="2"/>
  <c r="O10" i="2" s="1"/>
  <c r="L9" i="2"/>
  <c r="O9" i="2" s="1"/>
  <c r="L8" i="2"/>
  <c r="O8" i="2" s="1"/>
  <c r="L7" i="2"/>
  <c r="O7" i="2" s="1"/>
  <c r="H40" i="2"/>
  <c r="F40" i="2"/>
  <c r="G40" i="2"/>
  <c r="N40" i="2" l="1"/>
  <c r="M40" i="2"/>
  <c r="I43" i="2" l="1"/>
  <c r="I42" i="2" l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L40" i="2" l="1"/>
  <c r="I41" i="2" s="1"/>
  <c r="O40" i="2"/>
</calcChain>
</file>

<file path=xl/sharedStrings.xml><?xml version="1.0" encoding="utf-8"?>
<sst xmlns="http://schemas.openxmlformats.org/spreadsheetml/2006/main" count="108" uniqueCount="38">
  <si>
    <t>DA</t>
  </si>
  <si>
    <t>TA</t>
  </si>
  <si>
    <t>Date</t>
  </si>
  <si>
    <t>Day</t>
  </si>
  <si>
    <t xml:space="preserve">Town </t>
  </si>
  <si>
    <t xml:space="preserve">S. No </t>
  </si>
  <si>
    <t xml:space="preserve">HQ / Upcountry </t>
  </si>
  <si>
    <t xml:space="preserve">Hotel </t>
  </si>
  <si>
    <t xml:space="preserve">Total </t>
  </si>
  <si>
    <t>Bus / Train Amount</t>
  </si>
  <si>
    <t>HQ : LOCAL WORKING</t>
  </si>
  <si>
    <t xml:space="preserve">UPCOUNTRY WORKING </t>
  </si>
  <si>
    <t>Rate / Km</t>
  </si>
  <si>
    <t>Total KM</t>
  </si>
  <si>
    <t>Bike Amt</t>
  </si>
  <si>
    <t>Name of PSM : Akash Vishoriya</t>
  </si>
  <si>
    <t>Emp ID : I3785</t>
  </si>
  <si>
    <t>Mobile No : 9074305446</t>
  </si>
  <si>
    <t>HQ : Gwalior</t>
  </si>
  <si>
    <t>Date of Joining : 25-04-2024</t>
  </si>
  <si>
    <t>Wednesday</t>
  </si>
  <si>
    <t>Thursday</t>
  </si>
  <si>
    <t>Friday</t>
  </si>
  <si>
    <t>Saturday</t>
  </si>
  <si>
    <t>Sunday</t>
  </si>
  <si>
    <t>Monday</t>
  </si>
  <si>
    <t>Tuesday</t>
  </si>
  <si>
    <t>Gwalior</t>
  </si>
  <si>
    <t>Bhind</t>
  </si>
  <si>
    <t>HQ</t>
  </si>
  <si>
    <t>Upcountry</t>
  </si>
  <si>
    <t>OE</t>
  </si>
  <si>
    <t>Leave</t>
  </si>
  <si>
    <t xml:space="preserve">ASE Name : </t>
  </si>
  <si>
    <t>Morena</t>
  </si>
  <si>
    <t>Expense from / to : 01/04/2026 to 30/04/2026</t>
  </si>
  <si>
    <t>Shivpuri</t>
  </si>
  <si>
    <t>Date : 30-04-2026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</si>
</sst>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15" fontId="0" fillId="0" borderId="1" xfId="0" applyNumberFormat="1" applyBorder="1" applyAlignment="1">
      <alignment horizontal="center"/>
    </xf>
    <xf numFmtId="15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abSelected="1" zoomScaleNormal="100" workbookViewId="0">
      <pane xSplit="5" ySplit="6" topLeftCell="F7" activePane="bottomRight" state="frozen"/>
      <selection pane="topRight" activeCell="F1" sqref="F1"/>
      <selection pane="bottomLeft" activeCell="A6" sqref="A6"/>
      <selection pane="bottomRight" activeCell="I15" sqref="I15"/>
    </sheetView>
  </sheetViews>
  <sheetFormatPr defaultRowHeight="14.4" x14ac:dyDescent="0.3"/>
  <cols>
    <col min="1" max="1" width="5.6640625" style="2" customWidth="1"/>
    <col min="2" max="4" width="14.5546875" style="2" customWidth="1"/>
    <col min="5" max="5" width="16.6640625" style="2" customWidth="1"/>
    <col min="6" max="12" width="10.33203125" style="2" customWidth="1"/>
    <col min="13" max="13" width="11.6640625" style="2" customWidth="1"/>
    <col min="14" max="14" width="17.33203125" style="2" customWidth="1"/>
    <col min="15" max="15" width="16.33203125" style="2" customWidth="1"/>
  </cols>
  <sheetData>
    <row r="1" spans="1:15" ht="15.6" x14ac:dyDescent="0.3">
      <c r="A1" s="21" t="s">
        <v>15</v>
      </c>
      <c r="B1" s="22"/>
      <c r="C1" s="22"/>
      <c r="D1" s="22"/>
      <c r="E1" s="22" t="s">
        <v>19</v>
      </c>
      <c r="F1" s="22"/>
      <c r="G1" s="22"/>
      <c r="H1" s="22"/>
      <c r="I1" s="22"/>
      <c r="J1" s="5"/>
      <c r="K1" s="5"/>
      <c r="L1" s="5"/>
      <c r="M1" s="22" t="s">
        <v>37</v>
      </c>
      <c r="N1" s="22"/>
      <c r="O1" s="26"/>
    </row>
    <row r="2" spans="1:15" ht="15.6" x14ac:dyDescent="0.3">
      <c r="A2" s="23" t="s">
        <v>16</v>
      </c>
      <c r="B2" s="20"/>
      <c r="C2" s="20"/>
      <c r="D2" s="20"/>
      <c r="E2" s="20" t="s">
        <v>18</v>
      </c>
      <c r="F2" s="20"/>
      <c r="G2" s="20"/>
      <c r="H2" s="20"/>
      <c r="I2" s="20"/>
      <c r="J2" s="4"/>
      <c r="K2" s="4"/>
      <c r="L2" s="4"/>
      <c r="M2" s="20"/>
      <c r="N2" s="20"/>
      <c r="O2" s="27"/>
    </row>
    <row r="3" spans="1:15" ht="16.2" thickBot="1" x14ac:dyDescent="0.35">
      <c r="A3" s="24" t="s">
        <v>17</v>
      </c>
      <c r="B3" s="25"/>
      <c r="C3" s="25"/>
      <c r="D3" s="25"/>
      <c r="E3" s="25" t="s">
        <v>33</v>
      </c>
      <c r="F3" s="25"/>
      <c r="G3" s="25"/>
      <c r="H3" s="25"/>
      <c r="I3" s="25"/>
      <c r="J3" s="6"/>
      <c r="K3" s="6"/>
      <c r="L3" s="6"/>
      <c r="M3" s="25" t="s">
        <v>35</v>
      </c>
      <c r="N3" s="25"/>
      <c r="O3" s="28"/>
    </row>
    <row r="4" spans="1:15" ht="15.6" x14ac:dyDescent="0.3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</row>
    <row r="5" spans="1:15" x14ac:dyDescent="0.3">
      <c r="A5" s="14"/>
      <c r="B5" s="14"/>
      <c r="C5" s="14"/>
      <c r="D5" s="14"/>
      <c r="E5" s="14"/>
      <c r="F5" s="18" t="s">
        <v>10</v>
      </c>
      <c r="G5" s="18"/>
      <c r="H5" s="19" t="s">
        <v>11</v>
      </c>
      <c r="I5" s="19"/>
      <c r="J5" s="19"/>
      <c r="K5" s="19"/>
      <c r="L5" s="19"/>
      <c r="M5" s="19"/>
      <c r="N5" s="19"/>
      <c r="O5" s="14"/>
    </row>
    <row r="6" spans="1:15" s="3" customFormat="1" ht="22.5" customHeight="1" x14ac:dyDescent="0.3">
      <c r="A6" s="15" t="s">
        <v>5</v>
      </c>
      <c r="B6" s="15" t="s">
        <v>2</v>
      </c>
      <c r="C6" s="15" t="s">
        <v>3</v>
      </c>
      <c r="D6" s="15" t="s">
        <v>4</v>
      </c>
      <c r="E6" s="15" t="s">
        <v>6</v>
      </c>
      <c r="F6" s="15" t="s">
        <v>1</v>
      </c>
      <c r="G6" s="15" t="s">
        <v>0</v>
      </c>
      <c r="H6" s="15" t="s">
        <v>1</v>
      </c>
      <c r="I6" s="15" t="s">
        <v>0</v>
      </c>
      <c r="J6" s="15" t="s">
        <v>13</v>
      </c>
      <c r="K6" s="15" t="s">
        <v>12</v>
      </c>
      <c r="L6" s="15" t="s">
        <v>14</v>
      </c>
      <c r="M6" s="15" t="s">
        <v>7</v>
      </c>
      <c r="N6" s="15" t="s">
        <v>9</v>
      </c>
      <c r="O6" s="15" t="s">
        <v>8</v>
      </c>
    </row>
    <row r="7" spans="1:15" x14ac:dyDescent="0.3">
      <c r="A7" s="1">
        <v>1</v>
      </c>
      <c r="B7" s="7">
        <v>46113</v>
      </c>
      <c r="C7" s="1" t="s">
        <v>20</v>
      </c>
      <c r="D7" s="1" t="s">
        <v>27</v>
      </c>
      <c r="E7" s="1" t="s">
        <v>29</v>
      </c>
      <c r="F7" s="1">
        <v>175</v>
      </c>
      <c r="G7" s="1">
        <v>175</v>
      </c>
      <c r="H7" s="1"/>
      <c r="I7" s="1"/>
      <c r="J7" s="1"/>
      <c r="K7" s="1">
        <v>4</v>
      </c>
      <c r="L7" s="1">
        <f t="shared" ref="L7:L31" si="0">J7*K7</f>
        <v>0</v>
      </c>
      <c r="M7" s="1"/>
      <c r="N7" s="1"/>
      <c r="O7" s="1">
        <f t="shared" ref="O7:O31" si="1">SUM(F7:I7,L7,M7,N7)</f>
        <v>350</v>
      </c>
    </row>
    <row r="8" spans="1:15" x14ac:dyDescent="0.3">
      <c r="A8" s="1">
        <f t="shared" ref="A8:A36" si="2">A7+1</f>
        <v>2</v>
      </c>
      <c r="B8" s="7">
        <f>+B7+1</f>
        <v>46114</v>
      </c>
      <c r="C8" s="1" t="s">
        <v>21</v>
      </c>
      <c r="D8" s="1" t="s">
        <v>27</v>
      </c>
      <c r="E8" s="1" t="s">
        <v>29</v>
      </c>
      <c r="F8" s="1">
        <v>175</v>
      </c>
      <c r="G8" s="1">
        <v>175</v>
      </c>
      <c r="H8" s="1"/>
      <c r="I8" s="1"/>
      <c r="J8" s="1"/>
      <c r="K8" s="1">
        <v>4</v>
      </c>
      <c r="L8" s="1">
        <f t="shared" si="0"/>
        <v>0</v>
      </c>
      <c r="M8" s="1"/>
      <c r="N8" s="1"/>
      <c r="O8" s="1">
        <f t="shared" si="1"/>
        <v>350</v>
      </c>
    </row>
    <row r="9" spans="1:15" x14ac:dyDescent="0.3">
      <c r="A9" s="1">
        <f t="shared" si="2"/>
        <v>3</v>
      </c>
      <c r="B9" s="7">
        <f>+B8+1</f>
        <v>46115</v>
      </c>
      <c r="C9" s="1" t="s">
        <v>22</v>
      </c>
      <c r="D9" s="1" t="s">
        <v>27</v>
      </c>
      <c r="E9" s="1" t="s">
        <v>32</v>
      </c>
      <c r="F9" s="1">
        <v>0</v>
      </c>
      <c r="G9" s="1">
        <v>0</v>
      </c>
      <c r="H9" s="1"/>
      <c r="I9" s="1"/>
      <c r="J9" s="1"/>
      <c r="K9" s="1">
        <v>4</v>
      </c>
      <c r="L9" s="1">
        <f t="shared" si="0"/>
        <v>0</v>
      </c>
      <c r="M9" s="1"/>
      <c r="N9" s="1"/>
      <c r="O9" s="1">
        <f t="shared" si="1"/>
        <v>0</v>
      </c>
    </row>
    <row r="10" spans="1:15" x14ac:dyDescent="0.3">
      <c r="A10" s="1">
        <f t="shared" si="2"/>
        <v>4</v>
      </c>
      <c r="B10" s="7">
        <f>+B9+1</f>
        <v>46116</v>
      </c>
      <c r="C10" s="1" t="s">
        <v>23</v>
      </c>
      <c r="D10" s="1" t="s">
        <v>27</v>
      </c>
      <c r="E10" s="1" t="s">
        <v>29</v>
      </c>
      <c r="F10" s="1">
        <v>175</v>
      </c>
      <c r="G10" s="1">
        <v>175</v>
      </c>
      <c r="H10" s="1"/>
      <c r="I10" s="1"/>
      <c r="J10" s="1"/>
      <c r="K10" s="1">
        <v>4</v>
      </c>
      <c r="L10" s="1">
        <f t="shared" si="0"/>
        <v>0</v>
      </c>
      <c r="M10" s="1"/>
      <c r="N10" s="1"/>
      <c r="O10" s="1">
        <f t="shared" si="1"/>
        <v>350</v>
      </c>
    </row>
    <row r="11" spans="1:15" x14ac:dyDescent="0.3">
      <c r="A11" s="1">
        <f t="shared" si="2"/>
        <v>5</v>
      </c>
      <c r="B11" s="8">
        <f t="shared" ref="B11:B15" si="3">+B10+1</f>
        <v>46117</v>
      </c>
      <c r="C11" s="9" t="s">
        <v>24</v>
      </c>
      <c r="D11" s="9"/>
      <c r="E11" s="9"/>
      <c r="F11" s="9"/>
      <c r="G11" s="9"/>
      <c r="H11" s="1"/>
      <c r="I11" s="1"/>
      <c r="J11" s="1"/>
      <c r="K11" s="1">
        <v>4</v>
      </c>
      <c r="L11" s="1">
        <f t="shared" si="0"/>
        <v>0</v>
      </c>
      <c r="M11" s="1"/>
      <c r="N11" s="1"/>
      <c r="O11" s="1">
        <f t="shared" si="1"/>
        <v>0</v>
      </c>
    </row>
    <row r="12" spans="1:15" x14ac:dyDescent="0.3">
      <c r="A12" s="1">
        <f t="shared" si="2"/>
        <v>6</v>
      </c>
      <c r="B12" s="16">
        <f t="shared" si="3"/>
        <v>46118</v>
      </c>
      <c r="C12" s="10" t="s">
        <v>25</v>
      </c>
      <c r="D12" s="1" t="s">
        <v>27</v>
      </c>
      <c r="E12" s="1" t="s">
        <v>29</v>
      </c>
      <c r="F12" s="1">
        <v>175</v>
      </c>
      <c r="G12" s="1">
        <v>175</v>
      </c>
      <c r="H12" s="1"/>
      <c r="I12" s="1"/>
      <c r="J12" s="1"/>
      <c r="K12" s="1">
        <v>4</v>
      </c>
      <c r="L12" s="1">
        <f t="shared" si="0"/>
        <v>0</v>
      </c>
      <c r="M12" s="1"/>
      <c r="N12" s="1"/>
      <c r="O12" s="1">
        <f t="shared" si="1"/>
        <v>350</v>
      </c>
    </row>
    <row r="13" spans="1:15" x14ac:dyDescent="0.3">
      <c r="A13" s="1">
        <f t="shared" si="2"/>
        <v>7</v>
      </c>
      <c r="B13" s="7">
        <f t="shared" si="3"/>
        <v>46119</v>
      </c>
      <c r="C13" s="1" t="s">
        <v>26</v>
      </c>
      <c r="D13" s="1" t="s">
        <v>28</v>
      </c>
      <c r="E13" s="1" t="s">
        <v>30</v>
      </c>
      <c r="F13" s="1"/>
      <c r="G13" s="1"/>
      <c r="H13" s="1"/>
      <c r="I13" s="1">
        <v>250</v>
      </c>
      <c r="J13" s="1">
        <v>180</v>
      </c>
      <c r="K13" s="1">
        <v>4</v>
      </c>
      <c r="L13" s="1">
        <f t="shared" si="0"/>
        <v>720</v>
      </c>
      <c r="M13" s="1"/>
      <c r="N13" s="1"/>
      <c r="O13" s="1">
        <f t="shared" si="1"/>
        <v>970</v>
      </c>
    </row>
    <row r="14" spans="1:15" x14ac:dyDescent="0.3">
      <c r="A14" s="1">
        <f t="shared" si="2"/>
        <v>8</v>
      </c>
      <c r="B14" s="7">
        <f t="shared" si="3"/>
        <v>46120</v>
      </c>
      <c r="C14" s="1" t="s">
        <v>20</v>
      </c>
      <c r="D14" s="1" t="s">
        <v>27</v>
      </c>
      <c r="E14" s="1" t="s">
        <v>29</v>
      </c>
      <c r="F14" s="1">
        <v>175</v>
      </c>
      <c r="G14" s="1">
        <v>175</v>
      </c>
      <c r="H14" s="1"/>
      <c r="I14" s="1"/>
      <c r="J14" s="1"/>
      <c r="K14" s="1">
        <v>4</v>
      </c>
      <c r="L14" s="1">
        <f t="shared" si="0"/>
        <v>0</v>
      </c>
      <c r="M14" s="1"/>
      <c r="N14" s="1"/>
      <c r="O14" s="1">
        <f t="shared" si="1"/>
        <v>350</v>
      </c>
    </row>
    <row r="15" spans="1:15" x14ac:dyDescent="0.3">
      <c r="A15" s="1">
        <f t="shared" si="2"/>
        <v>9</v>
      </c>
      <c r="B15" s="7">
        <f t="shared" si="3"/>
        <v>46121</v>
      </c>
      <c r="C15" s="1" t="s">
        <v>21</v>
      </c>
      <c r="D15" s="1" t="s">
        <v>36</v>
      </c>
      <c r="E15" s="1" t="s">
        <v>30</v>
      </c>
      <c r="F15" s="1">
        <v>0</v>
      </c>
      <c r="G15" s="1">
        <v>0</v>
      </c>
      <c r="H15" s="1"/>
      <c r="I15" s="1">
        <v>250</v>
      </c>
      <c r="J15" s="1"/>
      <c r="K15" s="1">
        <v>4</v>
      </c>
      <c r="L15" s="1">
        <f t="shared" si="0"/>
        <v>0</v>
      </c>
      <c r="M15" s="1"/>
      <c r="N15" s="1"/>
      <c r="O15" s="1">
        <f t="shared" si="1"/>
        <v>250</v>
      </c>
    </row>
    <row r="16" spans="1:15" x14ac:dyDescent="0.3">
      <c r="A16" s="1">
        <f t="shared" si="2"/>
        <v>10</v>
      </c>
      <c r="B16" s="7">
        <f>+B15+1</f>
        <v>46122</v>
      </c>
      <c r="C16" s="1" t="s">
        <v>22</v>
      </c>
      <c r="D16" s="1" t="s">
        <v>27</v>
      </c>
      <c r="E16" s="1" t="s">
        <v>29</v>
      </c>
      <c r="F16" s="1">
        <v>175</v>
      </c>
      <c r="G16" s="1">
        <v>175</v>
      </c>
      <c r="H16" s="1"/>
      <c r="I16" s="1"/>
      <c r="J16" s="1"/>
      <c r="K16" s="1">
        <v>4</v>
      </c>
      <c r="L16" s="1">
        <f t="shared" si="0"/>
        <v>0</v>
      </c>
      <c r="M16" s="1"/>
      <c r="N16" s="1"/>
      <c r="O16" s="1">
        <f t="shared" si="1"/>
        <v>350</v>
      </c>
    </row>
    <row r="17" spans="1:15" x14ac:dyDescent="0.3">
      <c r="A17" s="1">
        <f t="shared" si="2"/>
        <v>11</v>
      </c>
      <c r="B17" s="7">
        <f>+B16+1</f>
        <v>46123</v>
      </c>
      <c r="C17" s="1" t="s">
        <v>23</v>
      </c>
      <c r="D17" s="1" t="s">
        <v>27</v>
      </c>
      <c r="E17" s="1" t="s">
        <v>29</v>
      </c>
      <c r="F17" s="1">
        <v>175</v>
      </c>
      <c r="G17" s="1">
        <v>175</v>
      </c>
      <c r="H17" s="1"/>
      <c r="I17" s="1"/>
      <c r="J17" s="1"/>
      <c r="K17" s="1">
        <v>4</v>
      </c>
      <c r="L17" s="1">
        <f t="shared" si="0"/>
        <v>0</v>
      </c>
      <c r="M17" s="1"/>
      <c r="N17" s="1"/>
      <c r="O17" s="1">
        <f t="shared" si="1"/>
        <v>350</v>
      </c>
    </row>
    <row r="18" spans="1:15" x14ac:dyDescent="0.3">
      <c r="A18" s="1">
        <f t="shared" si="2"/>
        <v>12</v>
      </c>
      <c r="B18" s="8">
        <f t="shared" ref="B18:B36" si="4">+B17+1</f>
        <v>46124</v>
      </c>
      <c r="C18" s="8" t="s">
        <v>24</v>
      </c>
      <c r="D18" s="8"/>
      <c r="E18" s="8"/>
      <c r="F18" s="8"/>
      <c r="G18" s="8"/>
      <c r="H18" s="1"/>
      <c r="I18" s="1"/>
      <c r="J18" s="1"/>
      <c r="K18" s="1">
        <v>4</v>
      </c>
      <c r="L18" s="1">
        <f t="shared" si="0"/>
        <v>0</v>
      </c>
      <c r="M18" s="1"/>
      <c r="N18" s="1"/>
      <c r="O18" s="1">
        <f t="shared" si="1"/>
        <v>0</v>
      </c>
    </row>
    <row r="19" spans="1:15" x14ac:dyDescent="0.3">
      <c r="A19" s="1">
        <f t="shared" si="2"/>
        <v>13</v>
      </c>
      <c r="B19" s="16">
        <f t="shared" si="4"/>
        <v>46125</v>
      </c>
      <c r="C19" s="10" t="s">
        <v>25</v>
      </c>
      <c r="D19" s="1" t="s">
        <v>27</v>
      </c>
      <c r="E19" s="1" t="s">
        <v>29</v>
      </c>
      <c r="F19" s="1">
        <v>175</v>
      </c>
      <c r="G19" s="1">
        <v>175</v>
      </c>
      <c r="H19" s="1"/>
      <c r="I19" s="1"/>
      <c r="J19" s="1"/>
      <c r="K19" s="1">
        <v>4</v>
      </c>
      <c r="L19" s="1">
        <f t="shared" si="0"/>
        <v>0</v>
      </c>
      <c r="M19" s="1"/>
      <c r="N19" s="1"/>
      <c r="O19" s="1">
        <f t="shared" si="1"/>
        <v>350</v>
      </c>
    </row>
    <row r="20" spans="1:15" x14ac:dyDescent="0.3">
      <c r="A20" s="1">
        <f t="shared" si="2"/>
        <v>14</v>
      </c>
      <c r="B20" s="7">
        <f t="shared" si="4"/>
        <v>46126</v>
      </c>
      <c r="C20" s="1" t="s">
        <v>26</v>
      </c>
      <c r="D20" s="1" t="s">
        <v>34</v>
      </c>
      <c r="E20" s="1" t="s">
        <v>30</v>
      </c>
      <c r="F20" s="1"/>
      <c r="G20" s="1"/>
      <c r="H20" s="1"/>
      <c r="I20" s="1">
        <v>250</v>
      </c>
      <c r="J20" s="1">
        <v>100</v>
      </c>
      <c r="K20" s="1">
        <v>4</v>
      </c>
      <c r="L20" s="1">
        <f t="shared" si="0"/>
        <v>400</v>
      </c>
      <c r="M20" s="1"/>
      <c r="N20" s="1"/>
      <c r="O20" s="1">
        <f t="shared" si="1"/>
        <v>650</v>
      </c>
    </row>
    <row r="21" spans="1:15" x14ac:dyDescent="0.3">
      <c r="A21" s="1">
        <f t="shared" si="2"/>
        <v>15</v>
      </c>
      <c r="B21" s="7">
        <f t="shared" si="4"/>
        <v>46127</v>
      </c>
      <c r="C21" s="1" t="s">
        <v>20</v>
      </c>
      <c r="D21" s="1" t="s">
        <v>27</v>
      </c>
      <c r="E21" s="1" t="s">
        <v>29</v>
      </c>
      <c r="F21" s="1">
        <v>175</v>
      </c>
      <c r="G21" s="1">
        <v>175</v>
      </c>
      <c r="H21" s="1"/>
      <c r="I21" s="1"/>
      <c r="J21" s="1"/>
      <c r="K21" s="1">
        <v>4</v>
      </c>
      <c r="L21" s="1">
        <f t="shared" si="0"/>
        <v>0</v>
      </c>
      <c r="M21" s="1"/>
      <c r="N21" s="1"/>
      <c r="O21" s="1">
        <f t="shared" si="1"/>
        <v>350</v>
      </c>
    </row>
    <row r="22" spans="1:15" x14ac:dyDescent="0.3">
      <c r="A22" s="1">
        <f t="shared" si="2"/>
        <v>16</v>
      </c>
      <c r="B22" s="7">
        <f t="shared" si="4"/>
        <v>46128</v>
      </c>
      <c r="C22" s="1" t="s">
        <v>21</v>
      </c>
      <c r="D22" s="1" t="s">
        <v>27</v>
      </c>
      <c r="E22" s="1" t="s">
        <v>29</v>
      </c>
      <c r="F22" s="1">
        <v>175</v>
      </c>
      <c r="G22" s="1">
        <v>175</v>
      </c>
      <c r="H22" s="1"/>
      <c r="I22" s="1"/>
      <c r="J22" s="1"/>
      <c r="K22" s="1">
        <v>4</v>
      </c>
      <c r="L22" s="1">
        <f t="shared" si="0"/>
        <v>0</v>
      </c>
      <c r="M22" s="1"/>
      <c r="N22" s="1"/>
      <c r="O22" s="1">
        <f t="shared" si="1"/>
        <v>350</v>
      </c>
    </row>
    <row r="23" spans="1:15" x14ac:dyDescent="0.3">
      <c r="A23" s="1">
        <f t="shared" si="2"/>
        <v>17</v>
      </c>
      <c r="B23" s="7">
        <f t="shared" si="4"/>
        <v>46129</v>
      </c>
      <c r="C23" s="1" t="s">
        <v>22</v>
      </c>
      <c r="D23" s="1" t="s">
        <v>27</v>
      </c>
      <c r="E23" s="1" t="s">
        <v>29</v>
      </c>
      <c r="F23" s="1">
        <v>175</v>
      </c>
      <c r="G23" s="1">
        <v>175</v>
      </c>
      <c r="H23" s="1"/>
      <c r="I23" s="1"/>
      <c r="J23" s="1"/>
      <c r="K23" s="1">
        <v>4</v>
      </c>
      <c r="L23" s="1">
        <f t="shared" si="0"/>
        <v>0</v>
      </c>
      <c r="M23" s="1"/>
      <c r="N23" s="1"/>
      <c r="O23" s="1">
        <f t="shared" si="1"/>
        <v>350</v>
      </c>
    </row>
    <row r="24" spans="1:15" x14ac:dyDescent="0.3">
      <c r="A24" s="1">
        <f t="shared" si="2"/>
        <v>18</v>
      </c>
      <c r="B24" s="7">
        <f>+B23+1</f>
        <v>46130</v>
      </c>
      <c r="C24" s="1" t="s">
        <v>23</v>
      </c>
      <c r="D24" s="1" t="s">
        <v>27</v>
      </c>
      <c r="E24" s="1" t="s">
        <v>29</v>
      </c>
      <c r="F24" s="1">
        <v>175</v>
      </c>
      <c r="G24" s="1">
        <v>175</v>
      </c>
      <c r="H24" s="1"/>
      <c r="I24" s="1"/>
      <c r="J24" s="1"/>
      <c r="K24" s="1">
        <v>4</v>
      </c>
      <c r="L24" s="1">
        <f t="shared" si="0"/>
        <v>0</v>
      </c>
      <c r="M24" s="1"/>
      <c r="N24" s="1"/>
      <c r="O24" s="1">
        <f t="shared" si="1"/>
        <v>350</v>
      </c>
    </row>
    <row r="25" spans="1:15" x14ac:dyDescent="0.3">
      <c r="A25" s="1">
        <f t="shared" si="2"/>
        <v>19</v>
      </c>
      <c r="B25" s="8">
        <f t="shared" si="4"/>
        <v>46131</v>
      </c>
      <c r="C25" s="8" t="s">
        <v>24</v>
      </c>
      <c r="D25" s="8"/>
      <c r="E25" s="8"/>
      <c r="F25" s="8"/>
      <c r="G25" s="8"/>
      <c r="H25" s="1"/>
      <c r="I25" s="1"/>
      <c r="J25" s="1"/>
      <c r="K25" s="1">
        <v>4</v>
      </c>
      <c r="L25" s="1">
        <f t="shared" si="0"/>
        <v>0</v>
      </c>
      <c r="M25" s="1"/>
      <c r="N25" s="1"/>
      <c r="O25" s="1">
        <f t="shared" si="1"/>
        <v>0</v>
      </c>
    </row>
    <row r="26" spans="1:15" x14ac:dyDescent="0.3">
      <c r="A26" s="1">
        <f t="shared" si="2"/>
        <v>20</v>
      </c>
      <c r="B26" s="16">
        <f t="shared" si="4"/>
        <v>46132</v>
      </c>
      <c r="C26" s="10" t="s">
        <v>25</v>
      </c>
      <c r="D26" s="1" t="s">
        <v>27</v>
      </c>
      <c r="E26" s="1" t="s">
        <v>29</v>
      </c>
      <c r="F26" s="1">
        <v>175</v>
      </c>
      <c r="G26" s="1">
        <v>175</v>
      </c>
      <c r="H26" s="1"/>
      <c r="I26" s="1"/>
      <c r="J26" s="1"/>
      <c r="K26" s="1">
        <v>4</v>
      </c>
      <c r="L26" s="1">
        <f t="shared" si="0"/>
        <v>0</v>
      </c>
      <c r="M26" s="1"/>
      <c r="N26" s="1"/>
      <c r="O26" s="1">
        <f t="shared" si="1"/>
        <v>350</v>
      </c>
    </row>
    <row r="27" spans="1:15" x14ac:dyDescent="0.3">
      <c r="A27" s="1">
        <f t="shared" si="2"/>
        <v>21</v>
      </c>
      <c r="B27" s="7">
        <f t="shared" si="4"/>
        <v>46133</v>
      </c>
      <c r="C27" s="1" t="s">
        <v>26</v>
      </c>
      <c r="D27" s="1"/>
      <c r="E27" s="1" t="s">
        <v>32</v>
      </c>
      <c r="F27" s="1"/>
      <c r="G27" s="1"/>
      <c r="H27" s="1"/>
      <c r="I27" s="1"/>
      <c r="J27" s="1"/>
      <c r="K27" s="1">
        <v>4</v>
      </c>
      <c r="L27" s="1">
        <f t="shared" si="0"/>
        <v>0</v>
      </c>
      <c r="M27" s="1"/>
      <c r="N27" s="1"/>
      <c r="O27" s="1">
        <f t="shared" si="1"/>
        <v>0</v>
      </c>
    </row>
    <row r="28" spans="1:15" x14ac:dyDescent="0.3">
      <c r="A28" s="1">
        <f t="shared" si="2"/>
        <v>22</v>
      </c>
      <c r="B28" s="7">
        <f t="shared" si="4"/>
        <v>46134</v>
      </c>
      <c r="C28" s="1" t="s">
        <v>20</v>
      </c>
      <c r="D28" s="1"/>
      <c r="E28" s="1" t="s">
        <v>32</v>
      </c>
      <c r="F28" s="1"/>
      <c r="G28" s="1"/>
      <c r="H28" s="1"/>
      <c r="I28" s="1"/>
      <c r="J28" s="1"/>
      <c r="K28" s="1">
        <v>4</v>
      </c>
      <c r="L28" s="1">
        <f t="shared" si="0"/>
        <v>0</v>
      </c>
      <c r="M28" s="1"/>
      <c r="N28" s="1"/>
      <c r="O28" s="1">
        <f t="shared" si="1"/>
        <v>0</v>
      </c>
    </row>
    <row r="29" spans="1:15" x14ac:dyDescent="0.3">
      <c r="A29" s="1">
        <f t="shared" si="2"/>
        <v>23</v>
      </c>
      <c r="B29" s="7">
        <f t="shared" si="4"/>
        <v>46135</v>
      </c>
      <c r="C29" s="1" t="s">
        <v>21</v>
      </c>
      <c r="D29" s="1" t="s">
        <v>27</v>
      </c>
      <c r="E29" s="1" t="s">
        <v>29</v>
      </c>
      <c r="F29" s="1">
        <v>175</v>
      </c>
      <c r="G29" s="1">
        <v>175</v>
      </c>
      <c r="H29" s="1"/>
      <c r="I29" s="1"/>
      <c r="J29" s="1"/>
      <c r="K29" s="1">
        <v>4</v>
      </c>
      <c r="L29" s="1">
        <f t="shared" si="0"/>
        <v>0</v>
      </c>
      <c r="M29" s="1"/>
      <c r="N29" s="1"/>
      <c r="O29" s="1">
        <f t="shared" si="1"/>
        <v>350</v>
      </c>
    </row>
    <row r="30" spans="1:15" x14ac:dyDescent="0.3">
      <c r="A30" s="1">
        <f t="shared" si="2"/>
        <v>24</v>
      </c>
      <c r="B30" s="7">
        <f t="shared" si="4"/>
        <v>46136</v>
      </c>
      <c r="C30" s="1" t="s">
        <v>22</v>
      </c>
      <c r="D30" s="1" t="s">
        <v>27</v>
      </c>
      <c r="E30" s="1" t="s">
        <v>29</v>
      </c>
      <c r="F30" s="1">
        <v>175</v>
      </c>
      <c r="G30" s="1">
        <v>175</v>
      </c>
      <c r="H30" s="1"/>
      <c r="I30" s="1"/>
      <c r="J30" s="1"/>
      <c r="K30" s="1">
        <v>4</v>
      </c>
      <c r="L30" s="1">
        <f t="shared" si="0"/>
        <v>0</v>
      </c>
      <c r="M30" s="1"/>
      <c r="N30" s="1"/>
      <c r="O30" s="1">
        <f t="shared" si="1"/>
        <v>350</v>
      </c>
    </row>
    <row r="31" spans="1:15" x14ac:dyDescent="0.3">
      <c r="A31" s="1">
        <f t="shared" si="2"/>
        <v>25</v>
      </c>
      <c r="B31" s="7">
        <f t="shared" si="4"/>
        <v>46137</v>
      </c>
      <c r="C31" s="1" t="s">
        <v>23</v>
      </c>
      <c r="D31" s="1" t="s">
        <v>27</v>
      </c>
      <c r="E31" s="1" t="s">
        <v>29</v>
      </c>
      <c r="F31" s="1">
        <v>175</v>
      </c>
      <c r="G31" s="1">
        <v>175</v>
      </c>
      <c r="H31" s="1"/>
      <c r="I31" s="1"/>
      <c r="J31" s="1"/>
      <c r="K31" s="1">
        <v>4</v>
      </c>
      <c r="L31" s="1">
        <f t="shared" si="0"/>
        <v>0</v>
      </c>
      <c r="M31" s="1"/>
      <c r="N31" s="1"/>
      <c r="O31" s="1">
        <f t="shared" si="1"/>
        <v>350</v>
      </c>
    </row>
    <row r="32" spans="1:15" x14ac:dyDescent="0.3">
      <c r="A32" s="1">
        <f t="shared" si="2"/>
        <v>26</v>
      </c>
      <c r="B32" s="8">
        <f t="shared" si="4"/>
        <v>46138</v>
      </c>
      <c r="C32" s="9" t="s">
        <v>24</v>
      </c>
      <c r="D32" s="9"/>
      <c r="E32" s="9"/>
      <c r="F32" s="9"/>
      <c r="G32" s="9"/>
      <c r="H32" s="1"/>
      <c r="I32" s="1"/>
      <c r="J32" s="1"/>
      <c r="K32" s="1">
        <v>4</v>
      </c>
      <c r="L32" s="1">
        <f t="shared" ref="L32:L34" si="5">J32*K32</f>
        <v>0</v>
      </c>
      <c r="M32" s="1"/>
      <c r="N32" s="1"/>
      <c r="O32" s="1">
        <f t="shared" ref="O32:O36" si="6">SUM(F32:I32,L32,M32,N32)</f>
        <v>0</v>
      </c>
    </row>
    <row r="33" spans="1:15" x14ac:dyDescent="0.3">
      <c r="A33" s="1">
        <f t="shared" si="2"/>
        <v>27</v>
      </c>
      <c r="B33" s="7">
        <f t="shared" si="4"/>
        <v>46139</v>
      </c>
      <c r="C33" s="1" t="s">
        <v>25</v>
      </c>
      <c r="D33" s="1" t="s">
        <v>27</v>
      </c>
      <c r="E33" s="1" t="s">
        <v>29</v>
      </c>
      <c r="F33" s="1">
        <v>175</v>
      </c>
      <c r="G33" s="1">
        <v>175</v>
      </c>
      <c r="H33" s="1"/>
      <c r="I33" s="1"/>
      <c r="J33" s="1"/>
      <c r="K33" s="1">
        <v>4</v>
      </c>
      <c r="L33" s="1">
        <f t="shared" si="5"/>
        <v>0</v>
      </c>
      <c r="M33" s="1"/>
      <c r="N33" s="1"/>
      <c r="O33" s="1">
        <f t="shared" si="6"/>
        <v>350</v>
      </c>
    </row>
    <row r="34" spans="1:15" x14ac:dyDescent="0.3">
      <c r="A34" s="1">
        <f t="shared" si="2"/>
        <v>28</v>
      </c>
      <c r="B34" s="7">
        <f t="shared" si="4"/>
        <v>46140</v>
      </c>
      <c r="C34" s="1" t="s">
        <v>26</v>
      </c>
      <c r="D34" s="1" t="s">
        <v>28</v>
      </c>
      <c r="E34" s="1" t="s">
        <v>29</v>
      </c>
      <c r="F34" s="1"/>
      <c r="G34" s="1"/>
      <c r="H34" s="1"/>
      <c r="I34" s="1">
        <v>250</v>
      </c>
      <c r="J34" s="1">
        <v>180</v>
      </c>
      <c r="K34" s="1">
        <v>4</v>
      </c>
      <c r="L34" s="1">
        <f t="shared" si="5"/>
        <v>720</v>
      </c>
      <c r="M34" s="1"/>
      <c r="N34" s="1"/>
      <c r="O34" s="1">
        <f t="shared" si="6"/>
        <v>970</v>
      </c>
    </row>
    <row r="35" spans="1:15" x14ac:dyDescent="0.3">
      <c r="A35" s="1">
        <f t="shared" si="2"/>
        <v>29</v>
      </c>
      <c r="B35" s="7">
        <f t="shared" si="4"/>
        <v>46141</v>
      </c>
      <c r="C35" s="1" t="s">
        <v>26</v>
      </c>
      <c r="D35" s="1" t="s">
        <v>27</v>
      </c>
      <c r="E35" s="1" t="s">
        <v>29</v>
      </c>
      <c r="F35" s="1">
        <v>175</v>
      </c>
      <c r="G35" s="1">
        <v>175</v>
      </c>
      <c r="H35" s="1"/>
      <c r="I35" s="1"/>
      <c r="J35" s="1"/>
      <c r="K35" s="1">
        <v>4</v>
      </c>
      <c r="L35" s="1">
        <f t="shared" ref="L35:L36" si="7">J35*K35</f>
        <v>0</v>
      </c>
      <c r="M35" s="1"/>
      <c r="N35" s="1"/>
      <c r="O35" s="1">
        <f t="shared" si="6"/>
        <v>350</v>
      </c>
    </row>
    <row r="36" spans="1:15" x14ac:dyDescent="0.3">
      <c r="A36" s="1">
        <f t="shared" si="2"/>
        <v>30</v>
      </c>
      <c r="B36" s="7">
        <f t="shared" si="4"/>
        <v>46142</v>
      </c>
      <c r="C36" s="1" t="s">
        <v>26</v>
      </c>
      <c r="D36" s="1" t="s">
        <v>27</v>
      </c>
      <c r="E36" s="1" t="s">
        <v>29</v>
      </c>
      <c r="F36" s="1">
        <v>175</v>
      </c>
      <c r="G36" s="1">
        <v>175</v>
      </c>
      <c r="H36" s="1"/>
      <c r="I36" s="1"/>
      <c r="J36" s="1"/>
      <c r="K36" s="1">
        <v>4</v>
      </c>
      <c r="L36" s="1">
        <f t="shared" si="7"/>
        <v>0</v>
      </c>
      <c r="M36" s="1"/>
      <c r="N36" s="1"/>
      <c r="O36" s="1">
        <f t="shared" si="6"/>
        <v>350</v>
      </c>
    </row>
    <row r="37" spans="1:15" x14ac:dyDescent="0.3">
      <c r="A37" s="1"/>
      <c r="B37" s="7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1"/>
      <c r="B38" s="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3">
      <c r="A40" s="1"/>
      <c r="B40" s="1"/>
      <c r="C40" s="1"/>
      <c r="D40" s="1"/>
      <c r="E40" s="1"/>
      <c r="F40" s="1">
        <f>SUM(F7:F39)</f>
        <v>3325</v>
      </c>
      <c r="G40" s="1">
        <f>SUM(G7:G39)</f>
        <v>3325</v>
      </c>
      <c r="H40" s="1">
        <f>SUM(H7:H39)</f>
        <v>0</v>
      </c>
      <c r="I40" s="1">
        <f>SUM(I7:I39)</f>
        <v>1000</v>
      </c>
      <c r="J40" s="1"/>
      <c r="K40" s="17"/>
      <c r="L40" s="1">
        <f>SUM(L7:L39)</f>
        <v>1840</v>
      </c>
      <c r="M40" s="1">
        <f>SUM(M7:M30)</f>
        <v>0</v>
      </c>
      <c r="N40" s="1">
        <f>SUM(N7:N30)</f>
        <v>0</v>
      </c>
      <c r="O40" s="1">
        <f>SUM(O7:O39)</f>
        <v>9490</v>
      </c>
    </row>
    <row r="41" spans="1:15" x14ac:dyDescent="0.3">
      <c r="A41" s="1"/>
      <c r="B41" s="1"/>
      <c r="C41" s="1"/>
      <c r="D41" s="1"/>
      <c r="E41" s="1"/>
      <c r="F41" s="1"/>
      <c r="G41" s="1"/>
      <c r="H41" s="9" t="s">
        <v>1</v>
      </c>
      <c r="I41" s="9">
        <f>SUM(F40,L40,H40)</f>
        <v>5165</v>
      </c>
      <c r="J41" s="1"/>
      <c r="K41" s="1"/>
      <c r="L41" s="1"/>
      <c r="M41" s="1"/>
      <c r="N41" s="1"/>
      <c r="O41" s="1"/>
    </row>
    <row r="42" spans="1:15" x14ac:dyDescent="0.3">
      <c r="A42" s="1"/>
      <c r="B42" s="1"/>
      <c r="C42" s="1"/>
      <c r="D42" s="1"/>
      <c r="E42" s="1"/>
      <c r="F42" s="1"/>
      <c r="G42" s="1"/>
      <c r="H42" s="9" t="s">
        <v>0</v>
      </c>
      <c r="I42" s="9">
        <f>SUM(G40,I40)</f>
        <v>4325</v>
      </c>
      <c r="J42" s="1"/>
      <c r="K42" s="1"/>
      <c r="L42" s="1"/>
      <c r="M42" s="1"/>
      <c r="N42" s="1"/>
      <c r="O42" s="1"/>
    </row>
    <row r="43" spans="1:15" x14ac:dyDescent="0.3">
      <c r="A43" s="1"/>
      <c r="B43" s="1"/>
      <c r="C43" s="1"/>
      <c r="D43" s="1"/>
      <c r="E43" s="1"/>
      <c r="F43" s="1"/>
      <c r="G43" s="1"/>
      <c r="H43" s="9" t="s">
        <v>31</v>
      </c>
      <c r="I43" s="9">
        <f>SUM(M40:N40)</f>
        <v>0</v>
      </c>
      <c r="J43" s="1"/>
      <c r="K43" s="1"/>
      <c r="L43" s="1"/>
      <c r="M43" s="1"/>
      <c r="N43" s="1"/>
      <c r="O43" s="1"/>
    </row>
  </sheetData>
  <mergeCells count="11">
    <mergeCell ref="F5:G5"/>
    <mergeCell ref="H5:N5"/>
    <mergeCell ref="E2:I2"/>
    <mergeCell ref="A1:D1"/>
    <mergeCell ref="A2:D2"/>
    <mergeCell ref="A3:D3"/>
    <mergeCell ref="M1:O1"/>
    <mergeCell ref="E1:I1"/>
    <mergeCell ref="M2:O2"/>
    <mergeCell ref="M3:O3"/>
    <mergeCell ref="E3:I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Psm Exp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Rathore</dc:creator>
  <cp:lastModifiedBy>UBITECH SOLUTIONS</cp:lastModifiedBy>
  <dcterms:created xsi:type="dcterms:W3CDTF">2015-06-05T18:17:20Z</dcterms:created>
  <dcterms:modified xsi:type="dcterms:W3CDTF">2026-04-30T17:59:30Z</dcterms:modified>
</cp:coreProperties>
</file>